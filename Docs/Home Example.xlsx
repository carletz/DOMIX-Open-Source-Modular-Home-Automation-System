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p-m-b\Desktop\"/>
    </mc:Choice>
  </mc:AlternateContent>
  <xr:revisionPtr revIDLastSave="0" documentId="13_ncr:1_{C7D2F201-B023-4D34-8D80-3DDC7CD0E67C}" xr6:coauthVersionLast="47" xr6:coauthVersionMax="47" xr10:uidLastSave="{00000000-0000-0000-0000-000000000000}"/>
  <bookViews>
    <workbookView xWindow="28680" yWindow="-120" windowWidth="29040" windowHeight="15720" xr2:uid="{68F8F554-C49F-4EE5-B68B-6EEB98B04B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1" l="1"/>
  <c r="J96" i="1"/>
  <c r="C97" i="1"/>
  <c r="G90" i="1"/>
  <c r="B90" i="1"/>
  <c r="B99" i="1"/>
  <c r="C96" i="1"/>
  <c r="B81" i="1"/>
  <c r="G81" i="1"/>
  <c r="C81" i="1"/>
  <c r="C76" i="1"/>
  <c r="C87" i="1" s="1"/>
  <c r="C89" i="1" s="1"/>
  <c r="C90" i="1" s="1"/>
  <c r="C77" i="1"/>
  <c r="O92" i="1"/>
  <c r="O91" i="1"/>
  <c r="O90" i="1"/>
  <c r="E72" i="1"/>
  <c r="E77" i="1" s="1"/>
  <c r="E98" i="1" s="1"/>
  <c r="F72" i="1"/>
  <c r="F77" i="1" s="1"/>
  <c r="F98" i="1" s="1"/>
  <c r="G72" i="1"/>
  <c r="G77" i="1" s="1"/>
  <c r="G96" i="1" s="1"/>
  <c r="G98" i="1" s="1"/>
  <c r="G99" i="1" s="1"/>
  <c r="H72" i="1"/>
  <c r="H77" i="1" s="1"/>
  <c r="H98" i="1" s="1"/>
  <c r="I72" i="1"/>
  <c r="I77" i="1" s="1"/>
  <c r="I96" i="1" s="1"/>
  <c r="I98" i="1" s="1"/>
  <c r="J72" i="1"/>
  <c r="D72" i="1"/>
  <c r="D77" i="1" s="1"/>
  <c r="D96" i="1" s="1"/>
  <c r="D98" i="1" s="1"/>
  <c r="E53" i="1"/>
  <c r="E76" i="1" s="1"/>
  <c r="F53" i="1"/>
  <c r="F76" i="1" s="1"/>
  <c r="G53" i="1"/>
  <c r="G76" i="1" s="1"/>
  <c r="H53" i="1"/>
  <c r="H76" i="1" s="1"/>
  <c r="H87" i="1" s="1"/>
  <c r="H89" i="1" s="1"/>
  <c r="H90" i="1" s="1"/>
  <c r="I53" i="1"/>
  <c r="I76" i="1" s="1"/>
  <c r="I87" i="1" s="1"/>
  <c r="I89" i="1" s="1"/>
  <c r="I90" i="1" s="1"/>
  <c r="J53" i="1"/>
  <c r="J76" i="1" s="1"/>
  <c r="J87" i="1" s="1"/>
  <c r="J89" i="1" s="1"/>
  <c r="J90" i="1" s="1"/>
  <c r="D53" i="1"/>
  <c r="D76" i="1" s="1"/>
  <c r="J98" i="1" l="1"/>
  <c r="C101" i="1" s="1"/>
  <c r="C102" i="1"/>
  <c r="C98" i="1"/>
  <c r="D87" i="1"/>
  <c r="D89" i="1" s="1"/>
  <c r="F78" i="1"/>
  <c r="F80" i="1" s="1"/>
  <c r="D99" i="1"/>
  <c r="I99" i="1"/>
  <c r="H99" i="1"/>
  <c r="G78" i="1"/>
  <c r="G87" i="1"/>
  <c r="E78" i="1"/>
  <c r="E80" i="1" s="1"/>
  <c r="E81" i="1" s="1"/>
  <c r="F87" i="1"/>
  <c r="E87" i="1"/>
  <c r="D78" i="1"/>
  <c r="D80" i="1" s="1"/>
  <c r="J78" i="1"/>
  <c r="J80" i="1" s="1"/>
  <c r="J81" i="1" s="1"/>
  <c r="I78" i="1"/>
  <c r="I80" i="1" s="1"/>
  <c r="I81" i="1" s="1"/>
  <c r="H78" i="1"/>
  <c r="H80" i="1" s="1"/>
  <c r="H81" i="1" s="1"/>
  <c r="J99" i="1" l="1"/>
  <c r="D90" i="1"/>
  <c r="C93" i="1"/>
  <c r="C99" i="1"/>
  <c r="C100" i="1"/>
  <c r="D81" i="1"/>
  <c r="C84" i="1"/>
  <c r="C83" i="1"/>
  <c r="F81" i="1"/>
  <c r="C82" i="1"/>
  <c r="E99" i="1"/>
  <c r="E89" i="1"/>
  <c r="E90" i="1" s="1"/>
  <c r="F99" i="1"/>
  <c r="F89" i="1"/>
  <c r="F90" i="1" l="1"/>
  <c r="C91" i="1"/>
  <c r="C92" i="1"/>
</calcChain>
</file>

<file path=xl/sharedStrings.xml><?xml version="1.0" encoding="utf-8"?>
<sst xmlns="http://schemas.openxmlformats.org/spreadsheetml/2006/main" count="213" uniqueCount="87">
  <si>
    <t>Room</t>
  </si>
  <si>
    <t>M2</t>
  </si>
  <si>
    <t>M3</t>
  </si>
  <si>
    <t>M4</t>
  </si>
  <si>
    <t>M5</t>
  </si>
  <si>
    <t>M6</t>
  </si>
  <si>
    <t>M7</t>
  </si>
  <si>
    <t>M8</t>
  </si>
  <si>
    <t>M9</t>
  </si>
  <si>
    <t>Bedroom 1</t>
  </si>
  <si>
    <t>Ceiling light</t>
  </si>
  <si>
    <t>Bedside lights</t>
  </si>
  <si>
    <t>Door contact</t>
  </si>
  <si>
    <t>Window contact</t>
  </si>
  <si>
    <t>Shutter motor</t>
  </si>
  <si>
    <t>Thermostatic valve</t>
  </si>
  <si>
    <t>Bedroom 2</t>
  </si>
  <si>
    <t>Kitchen</t>
  </si>
  <si>
    <t>Worktop lights</t>
  </si>
  <si>
    <t>Gas sensor</t>
  </si>
  <si>
    <t>Smoke</t>
  </si>
  <si>
    <t>Gas solenoid valve</t>
  </si>
  <si>
    <t>Hood relay</t>
  </si>
  <si>
    <t>Living Room</t>
  </si>
  <si>
    <t>Ambient lights</t>
  </si>
  <si>
    <t>Dining Room</t>
  </si>
  <si>
    <t>Bathroom 1</t>
  </si>
  <si>
    <t>Mirror light</t>
  </si>
  <si>
    <t>Extraction fan</t>
  </si>
  <si>
    <t>Bathroom 2</t>
  </si>
  <si>
    <t>Storage 1</t>
  </si>
  <si>
    <t>Storage 2</t>
  </si>
  <si>
    <t>Area</t>
  </si>
  <si>
    <t>Garage</t>
  </si>
  <si>
    <t>Internal light</t>
  </si>
  <si>
    <t>External light</t>
  </si>
  <si>
    <t>Garage door motor</t>
  </si>
  <si>
    <t>Garden</t>
  </si>
  <si>
    <t>Garden lights</t>
  </si>
  <si>
    <t>Rain sensor</t>
  </si>
  <si>
    <t>Irrigation valve</t>
  </si>
  <si>
    <t>Driveway</t>
  </si>
  <si>
    <t>Driveway lights</t>
  </si>
  <si>
    <t>Pedestrian Gate</t>
  </si>
  <si>
    <t>Push button</t>
  </si>
  <si>
    <t>Gate contact</t>
  </si>
  <si>
    <t>Vehicle Gate</t>
  </si>
  <si>
    <t>Open keys</t>
  </si>
  <si>
    <t>Photocells</t>
  </si>
  <si>
    <t>Limit switches</t>
  </si>
  <si>
    <t>Gate motor</t>
  </si>
  <si>
    <t>External Total</t>
  </si>
  <si>
    <t>Internal Total</t>
  </si>
  <si>
    <t>Module capacity</t>
  </si>
  <si>
    <t>Module Number</t>
  </si>
  <si>
    <t>DOMIX – I²C Bus Configuration &amp; Validation Sheet (M2–M9)</t>
  </si>
  <si>
    <t>Module</t>
  </si>
  <si>
    <t>Quantity</t>
  </si>
  <si>
    <t>I²C Range Used</t>
  </si>
  <si>
    <t>ADS1115</t>
  </si>
  <si>
    <t>0x20–0x27</t>
  </si>
  <si>
    <t>No</t>
  </si>
  <si>
    <t>0x20–0x27 + 0x38–0x3F</t>
  </si>
  <si>
    <t>0x38–0x3F</t>
  </si>
  <si>
    <t>Yes</t>
  </si>
  <si>
    <t>Automatic Bus Validation</t>
  </si>
  <si>
    <t>Check</t>
  </si>
  <si>
    <t>Used Slots</t>
  </si>
  <si>
    <t>Max</t>
  </si>
  <si>
    <t>Status</t>
  </si>
  <si>
    <t>0x20–0x27  (M2 + M5 + M7 + M8 + M9)</t>
  </si>
  <si>
    <t>0x38–0x3F  (M3 + M4 + M6 + M9)</t>
  </si>
  <si>
    <t>ADS1115  (M3 + M6)</t>
  </si>
  <si>
    <t>Rules:
• M2 + M5 + M7 + M8 + M9 ≤ 8
• M3 + M4 + M6 + M9 ≤ 8
• M3 + M6 ≤ 4 (ADS1115 limit)
Note: M9 is a hybrid module consuming one address in both I²C ranges.</t>
  </si>
  <si>
    <t>DIN spaces</t>
  </si>
  <si>
    <t>M1</t>
  </si>
  <si>
    <t xml:space="preserve"> </t>
  </si>
  <si>
    <t>Input/Output</t>
  </si>
  <si>
    <t>M2 + M5 + M7 + M8 + M9 ≤ 8</t>
  </si>
  <si>
    <t>M3 + M4 + M6 + M9 ≤ 8</t>
  </si>
  <si>
    <t>M3 + M6 ≤ 4 (ADS1115 limit)</t>
  </si>
  <si>
    <t>≤ 8</t>
  </si>
  <si>
    <t>≤ 4</t>
  </si>
  <si>
    <t>Verified</t>
  </si>
  <si>
    <t>Home Total</t>
  </si>
  <si>
    <t>8+8</t>
  </si>
  <si>
    <t>Ok but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</si>
</sst>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9"/>
      <color theme="1"/>
      <name val="Arial"/>
      <family val="2"/>
    </font>
    <font>
      <sz val="9"/>
      <color rgb="FF404040"/>
      <name val="Arial"/>
      <family val="2"/>
    </font>
    <font>
      <b/>
      <sz val="10"/>
      <color rgb="FFFFFFFF"/>
      <name val="Roboto"/>
    </font>
    <font>
      <b/>
      <sz val="10"/>
      <color rgb="FF000000"/>
      <name val="Roboto"/>
    </font>
    <font>
      <b/>
      <sz val="10"/>
      <name val="Roboto"/>
    </font>
    <font>
      <sz val="10"/>
      <color rgb="FF000000"/>
      <name val="Roboto"/>
    </font>
    <font>
      <sz val="10"/>
      <name val="Roboto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D97B6"/>
        <bgColor indexed="64"/>
      </patternFill>
    </fill>
    <fill>
      <patternFill patternType="solid">
        <fgColor rgb="FFD6EAF1"/>
        <bgColor indexed="64"/>
      </patternFill>
    </fill>
  </fills>
  <borders count="15">
    <border>
      <left/>
      <right/>
      <top/>
      <bottom/>
      <diagonal/>
    </border>
    <border>
      <left style="medium">
        <color rgb="FF3D97B6"/>
      </left>
      <right/>
      <top style="medium">
        <color rgb="FF3D97B6"/>
      </top>
      <bottom style="medium">
        <color rgb="FF3D97B6"/>
      </bottom>
      <diagonal/>
    </border>
    <border>
      <left/>
      <right/>
      <top style="medium">
        <color rgb="FF3D97B6"/>
      </top>
      <bottom style="medium">
        <color rgb="FF3D97B6"/>
      </bottom>
      <diagonal/>
    </border>
    <border>
      <left/>
      <right style="medium">
        <color rgb="FF3D97B6"/>
      </right>
      <top style="medium">
        <color rgb="FF3D97B6"/>
      </top>
      <bottom style="medium">
        <color rgb="FF3D97B6"/>
      </bottom>
      <diagonal/>
    </border>
    <border>
      <left style="medium">
        <color rgb="FF86C2D6"/>
      </left>
      <right style="medium">
        <color rgb="FF86C2D6"/>
      </right>
      <top/>
      <bottom style="medium">
        <color rgb="FF86C2D6"/>
      </bottom>
      <diagonal/>
    </border>
    <border>
      <left style="medium">
        <color rgb="FF86C2D6"/>
      </left>
      <right style="medium">
        <color rgb="FF86C2D6"/>
      </right>
      <top/>
      <bottom/>
      <diagonal/>
    </border>
    <border>
      <left/>
      <right style="medium">
        <color rgb="FF86C2D6"/>
      </right>
      <top/>
      <bottom style="medium">
        <color rgb="FF86C2D6"/>
      </bottom>
      <diagonal/>
    </border>
    <border>
      <left style="medium">
        <color rgb="FF86C2D6"/>
      </left>
      <right style="medium">
        <color rgb="FF86C2D6"/>
      </right>
      <top style="medium">
        <color rgb="FF3D97B6"/>
      </top>
      <bottom/>
      <diagonal/>
    </border>
    <border>
      <left style="medium">
        <color rgb="FF86C2D6"/>
      </left>
      <right style="medium">
        <color rgb="FF86C2D6"/>
      </right>
      <top style="medium">
        <color rgb="FF86C2D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86C2D6"/>
      </top>
      <bottom/>
      <diagonal/>
    </border>
    <border>
      <left style="medium">
        <color rgb="FF86C2D6"/>
      </left>
      <right/>
      <top style="medium">
        <color rgb="FF86C2D6"/>
      </top>
      <bottom style="medium">
        <color rgb="FF86C2D6"/>
      </bottom>
      <diagonal/>
    </border>
    <border>
      <left/>
      <right style="medium">
        <color rgb="FF86C2D6"/>
      </right>
      <top style="medium">
        <color rgb="FF86C2D6"/>
      </top>
      <bottom style="medium">
        <color rgb="FF86C2D6"/>
      </bottom>
      <diagonal/>
    </border>
    <border>
      <left style="medium">
        <color rgb="FF86C2D6"/>
      </left>
      <right/>
      <top style="medium">
        <color rgb="FF86C2D6"/>
      </top>
      <bottom/>
      <diagonal/>
    </border>
    <border>
      <left style="medium">
        <color rgb="FF86C2D6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5" fillId="3" borderId="6" xfId="0" applyFont="1" applyFill="1" applyBorder="1" applyAlignment="1">
      <alignment horizontal="justify" vertical="center" wrapText="1"/>
    </xf>
    <xf numFmtId="0" fontId="1" fillId="3" borderId="6" xfId="0" applyFont="1" applyFill="1" applyBorder="1" applyAlignment="1">
      <alignment vertical="top" wrapText="1"/>
    </xf>
    <xf numFmtId="0" fontId="6" fillId="3" borderId="6" xfId="0" applyFont="1" applyFill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justify" vertical="center" wrapText="1"/>
    </xf>
    <xf numFmtId="0" fontId="3" fillId="3" borderId="5" xfId="0" applyFont="1" applyFill="1" applyBorder="1" applyAlignment="1">
      <alignment horizontal="justify" vertical="center" wrapText="1"/>
    </xf>
    <xf numFmtId="0" fontId="3" fillId="3" borderId="4" xfId="0" applyFont="1" applyFill="1" applyBorder="1" applyAlignment="1">
      <alignment horizontal="justify" vertical="center" wrapText="1"/>
    </xf>
    <xf numFmtId="0" fontId="4" fillId="0" borderId="8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left" wrapText="1"/>
    </xf>
    <xf numFmtId="0" fontId="3" fillId="3" borderId="7" xfId="0" applyFont="1" applyFill="1" applyBorder="1" applyAlignment="1">
      <alignment horizontal="justify" vertical="center" wrapText="1"/>
    </xf>
  </cellXfs>
  <cellStyles count="1">
    <cellStyle name="Normale" xfId="0" builtinId="0"/>
  </cellStyles>
  <dxfs count="6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5ABE-D2A2-462A-ACA3-5770B504C3EC}">
  <dimension ref="A1:Q104"/>
  <sheetViews>
    <sheetView tabSelected="1" topLeftCell="A73" workbookViewId="0">
      <selection activeCell="A95" sqref="A95:J102"/>
    </sheetView>
  </sheetViews>
  <sheetFormatPr defaultRowHeight="12" x14ac:dyDescent="0.2"/>
  <cols>
    <col min="1" max="1" width="16.5703125" customWidth="1"/>
    <col min="2" max="2" width="16.7109375" customWidth="1"/>
    <col min="14" max="14" width="31" bestFit="1" customWidth="1"/>
    <col min="15" max="15" width="10.28515625" bestFit="1" customWidth="1"/>
    <col min="16" max="16" width="20" bestFit="1" customWidth="1"/>
    <col min="17" max="17" width="10.28515625" customWidth="1"/>
  </cols>
  <sheetData>
    <row r="1" spans="1:10" ht="13.5" thickBot="1" x14ac:dyDescent="0.25">
      <c r="A1" s="1" t="s">
        <v>0</v>
      </c>
      <c r="B1" s="2" t="s">
        <v>77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ht="13.5" thickBot="1" x14ac:dyDescent="0.25">
      <c r="A2" s="37" t="s">
        <v>9</v>
      </c>
      <c r="B2" s="4" t="s">
        <v>10</v>
      </c>
      <c r="C2" s="5"/>
      <c r="D2" s="5"/>
      <c r="E2" s="6"/>
      <c r="F2" s="6"/>
      <c r="G2" s="6"/>
      <c r="H2" s="6">
        <v>1</v>
      </c>
      <c r="I2" s="6">
        <v>1</v>
      </c>
      <c r="J2" s="6"/>
    </row>
    <row r="3" spans="1:10" ht="13.5" thickBot="1" x14ac:dyDescent="0.25">
      <c r="A3" s="29"/>
      <c r="B3" s="7" t="s">
        <v>11</v>
      </c>
      <c r="C3" s="7"/>
      <c r="D3" s="7"/>
      <c r="E3" s="7"/>
      <c r="F3" s="7"/>
      <c r="G3" s="7"/>
      <c r="H3" s="7">
        <v>1</v>
      </c>
      <c r="I3" s="7">
        <v>1</v>
      </c>
      <c r="J3" s="7"/>
    </row>
    <row r="4" spans="1:10" ht="13.5" thickBot="1" x14ac:dyDescent="0.25">
      <c r="A4" s="29"/>
      <c r="B4" s="4" t="s">
        <v>12</v>
      </c>
      <c r="C4" s="6"/>
      <c r="D4" s="4">
        <v>1</v>
      </c>
      <c r="E4" s="6"/>
      <c r="F4" s="6"/>
      <c r="G4" s="6"/>
      <c r="H4" s="6"/>
      <c r="I4" s="6"/>
      <c r="J4" s="6"/>
    </row>
    <row r="5" spans="1:10" ht="13.5" thickBot="1" x14ac:dyDescent="0.25">
      <c r="A5" s="29"/>
      <c r="B5" s="7" t="s">
        <v>13</v>
      </c>
      <c r="C5" s="7"/>
      <c r="D5" s="7">
        <v>2</v>
      </c>
      <c r="E5" s="7"/>
      <c r="F5" s="7"/>
      <c r="G5" s="7"/>
      <c r="H5" s="7"/>
      <c r="I5" s="7"/>
      <c r="J5" s="7"/>
    </row>
    <row r="6" spans="1:10" ht="13.5" thickBot="1" x14ac:dyDescent="0.25">
      <c r="A6" s="29"/>
      <c r="B6" s="4" t="s">
        <v>14</v>
      </c>
      <c r="C6" s="6"/>
      <c r="D6" s="6"/>
      <c r="E6" s="6"/>
      <c r="F6" s="6">
        <v>4</v>
      </c>
      <c r="G6" s="6"/>
      <c r="H6" s="6"/>
      <c r="I6" s="6">
        <v>4</v>
      </c>
      <c r="J6" s="6"/>
    </row>
    <row r="7" spans="1:10" ht="13.5" thickBot="1" x14ac:dyDescent="0.25">
      <c r="A7" s="30"/>
      <c r="B7" s="7" t="s">
        <v>15</v>
      </c>
      <c r="C7" s="7"/>
      <c r="D7" s="7"/>
      <c r="E7" s="7">
        <v>1</v>
      </c>
      <c r="F7" s="7"/>
      <c r="G7" s="7"/>
      <c r="H7" s="7"/>
      <c r="I7" s="7"/>
      <c r="J7" s="7"/>
    </row>
    <row r="8" spans="1:10" ht="13.5" thickBot="1" x14ac:dyDescent="0.25">
      <c r="A8" s="28" t="s">
        <v>16</v>
      </c>
      <c r="B8" s="4" t="s">
        <v>10</v>
      </c>
      <c r="C8" s="6"/>
      <c r="D8" s="6"/>
      <c r="E8" s="6"/>
      <c r="F8" s="6"/>
      <c r="G8" s="6"/>
      <c r="H8" s="6">
        <v>1</v>
      </c>
      <c r="I8" s="6">
        <v>1</v>
      </c>
      <c r="J8" s="6"/>
    </row>
    <row r="9" spans="1:10" ht="13.5" thickBot="1" x14ac:dyDescent="0.25">
      <c r="A9" s="29"/>
      <c r="B9" s="7" t="s">
        <v>11</v>
      </c>
      <c r="C9" s="7"/>
      <c r="D9" s="7"/>
      <c r="E9" s="7"/>
      <c r="F9" s="7"/>
      <c r="G9" s="7"/>
      <c r="H9" s="7">
        <v>1</v>
      </c>
      <c r="I9" s="7">
        <v>1</v>
      </c>
      <c r="J9" s="7"/>
    </row>
    <row r="10" spans="1:10" ht="13.5" thickBot="1" x14ac:dyDescent="0.25">
      <c r="A10" s="29"/>
      <c r="B10" s="4" t="s">
        <v>12</v>
      </c>
      <c r="C10" s="6"/>
      <c r="D10" s="4">
        <v>1</v>
      </c>
      <c r="E10" s="6"/>
      <c r="F10" s="6"/>
      <c r="G10" s="6"/>
      <c r="H10" s="6"/>
      <c r="I10" s="6"/>
      <c r="J10" s="6"/>
    </row>
    <row r="11" spans="1:10" ht="13.5" thickBot="1" x14ac:dyDescent="0.25">
      <c r="A11" s="29"/>
      <c r="B11" s="7" t="s">
        <v>13</v>
      </c>
      <c r="C11" s="7"/>
      <c r="D11" s="7">
        <v>1</v>
      </c>
      <c r="E11" s="7"/>
      <c r="F11" s="7"/>
      <c r="G11" s="7"/>
      <c r="H11" s="7"/>
      <c r="I11" s="7"/>
      <c r="J11" s="7"/>
    </row>
    <row r="12" spans="1:10" ht="13.5" thickBot="1" x14ac:dyDescent="0.25">
      <c r="A12" s="29"/>
      <c r="B12" s="4" t="s">
        <v>14</v>
      </c>
      <c r="C12" s="6"/>
      <c r="D12" s="6"/>
      <c r="E12" s="6"/>
      <c r="F12" s="6">
        <v>2</v>
      </c>
      <c r="G12" s="6"/>
      <c r="H12" s="6"/>
      <c r="I12" s="6">
        <v>2</v>
      </c>
      <c r="J12" s="6"/>
    </row>
    <row r="13" spans="1:10" ht="13.5" thickBot="1" x14ac:dyDescent="0.25">
      <c r="A13" s="30"/>
      <c r="B13" s="7" t="s">
        <v>15</v>
      </c>
      <c r="C13" s="7"/>
      <c r="D13" s="7"/>
      <c r="E13" s="7">
        <v>1</v>
      </c>
      <c r="F13" s="7"/>
      <c r="G13" s="7"/>
      <c r="H13" s="7"/>
      <c r="I13" s="7"/>
      <c r="J13" s="7"/>
    </row>
    <row r="14" spans="1:10" ht="13.5" thickBot="1" x14ac:dyDescent="0.25">
      <c r="A14" s="28" t="s">
        <v>17</v>
      </c>
      <c r="B14" s="4" t="s">
        <v>10</v>
      </c>
      <c r="C14" s="5"/>
      <c r="D14" s="5"/>
      <c r="E14" s="6"/>
      <c r="F14" s="6"/>
      <c r="G14" s="6"/>
      <c r="H14" s="6">
        <v>1</v>
      </c>
      <c r="I14" s="6">
        <v>1</v>
      </c>
      <c r="J14" s="6"/>
    </row>
    <row r="15" spans="1:10" ht="13.5" thickBot="1" x14ac:dyDescent="0.25">
      <c r="A15" s="29"/>
      <c r="B15" s="7" t="s">
        <v>18</v>
      </c>
      <c r="C15" s="7"/>
      <c r="D15" s="7"/>
      <c r="E15" s="7"/>
      <c r="F15" s="7"/>
      <c r="G15" s="7"/>
      <c r="H15" s="7">
        <v>1</v>
      </c>
      <c r="I15" s="7">
        <v>1</v>
      </c>
      <c r="J15" s="7"/>
    </row>
    <row r="16" spans="1:10" ht="13.5" thickBot="1" x14ac:dyDescent="0.25">
      <c r="A16" s="29"/>
      <c r="B16" s="4" t="s">
        <v>12</v>
      </c>
      <c r="C16" s="6"/>
      <c r="D16" s="4">
        <v>1</v>
      </c>
      <c r="E16" s="6"/>
      <c r="F16" s="6"/>
      <c r="G16" s="6"/>
      <c r="H16" s="6"/>
      <c r="I16" s="6"/>
      <c r="J16" s="6"/>
    </row>
    <row r="17" spans="1:10" ht="13.5" thickBot="1" x14ac:dyDescent="0.25">
      <c r="A17" s="29"/>
      <c r="B17" s="7" t="s">
        <v>13</v>
      </c>
      <c r="C17" s="7"/>
      <c r="D17" s="7">
        <v>1</v>
      </c>
      <c r="E17" s="7"/>
      <c r="F17" s="7"/>
      <c r="G17" s="7"/>
      <c r="H17" s="7"/>
      <c r="I17" s="7"/>
      <c r="J17" s="7"/>
    </row>
    <row r="18" spans="1:10" ht="13.5" thickBot="1" x14ac:dyDescent="0.25">
      <c r="A18" s="29"/>
      <c r="B18" s="4" t="s">
        <v>14</v>
      </c>
      <c r="C18" s="6"/>
      <c r="D18" s="6"/>
      <c r="E18" s="6"/>
      <c r="F18" s="6">
        <v>2</v>
      </c>
      <c r="G18" s="6"/>
      <c r="H18" s="6"/>
      <c r="I18" s="6">
        <v>2</v>
      </c>
      <c r="J18" s="6"/>
    </row>
    <row r="19" spans="1:10" ht="13.5" thickBot="1" x14ac:dyDescent="0.25">
      <c r="A19" s="29"/>
      <c r="B19" s="7" t="s">
        <v>15</v>
      </c>
      <c r="C19" s="7"/>
      <c r="D19" s="7"/>
      <c r="E19" s="7">
        <v>1</v>
      </c>
      <c r="F19" s="7"/>
      <c r="G19" s="7"/>
      <c r="H19" s="7"/>
      <c r="I19" s="7"/>
      <c r="J19" s="7"/>
    </row>
    <row r="20" spans="1:10" ht="13.5" thickBot="1" x14ac:dyDescent="0.25">
      <c r="A20" s="29"/>
      <c r="B20" s="4" t="s">
        <v>19</v>
      </c>
      <c r="C20" s="6"/>
      <c r="D20" s="6">
        <v>1</v>
      </c>
      <c r="E20" s="6"/>
      <c r="F20" s="6"/>
      <c r="G20" s="6"/>
      <c r="H20" s="6"/>
      <c r="I20" s="6"/>
      <c r="J20" s="6"/>
    </row>
    <row r="21" spans="1:10" ht="13.5" thickBot="1" x14ac:dyDescent="0.25">
      <c r="A21" s="29"/>
      <c r="B21" s="7" t="s">
        <v>20</v>
      </c>
      <c r="C21" s="7"/>
      <c r="D21" s="7">
        <v>1</v>
      </c>
      <c r="E21" s="7"/>
      <c r="F21" s="7"/>
      <c r="G21" s="7"/>
      <c r="H21" s="7"/>
      <c r="I21" s="7"/>
      <c r="J21" s="7"/>
    </row>
    <row r="22" spans="1:10" ht="13.5" thickBot="1" x14ac:dyDescent="0.25">
      <c r="A22" s="29"/>
      <c r="B22" s="4" t="s">
        <v>21</v>
      </c>
      <c r="C22" s="6"/>
      <c r="D22" s="6"/>
      <c r="E22" s="6"/>
      <c r="F22" s="6"/>
      <c r="G22" s="6"/>
      <c r="H22" s="6">
        <v>1</v>
      </c>
      <c r="I22" s="6"/>
      <c r="J22" s="6"/>
    </row>
    <row r="23" spans="1:10" ht="13.5" thickBot="1" x14ac:dyDescent="0.25">
      <c r="A23" s="30"/>
      <c r="B23" s="7" t="s">
        <v>22</v>
      </c>
      <c r="C23" s="7"/>
      <c r="D23" s="7"/>
      <c r="E23" s="7"/>
      <c r="F23" s="7"/>
      <c r="G23" s="7"/>
      <c r="H23" s="7">
        <v>1</v>
      </c>
      <c r="I23" s="7">
        <v>1</v>
      </c>
      <c r="J23" s="7"/>
    </row>
    <row r="24" spans="1:10" ht="13.5" thickBot="1" x14ac:dyDescent="0.25">
      <c r="A24" s="28" t="s">
        <v>23</v>
      </c>
      <c r="B24" s="4" t="s">
        <v>10</v>
      </c>
      <c r="C24" s="6"/>
      <c r="D24" s="6"/>
      <c r="E24" s="6"/>
      <c r="F24" s="6"/>
      <c r="G24" s="6"/>
      <c r="H24" s="6">
        <v>1</v>
      </c>
      <c r="I24" s="6">
        <v>1</v>
      </c>
      <c r="J24" s="6"/>
    </row>
    <row r="25" spans="1:10" ht="13.5" thickBot="1" x14ac:dyDescent="0.25">
      <c r="A25" s="29"/>
      <c r="B25" s="7" t="s">
        <v>24</v>
      </c>
      <c r="C25" s="7"/>
      <c r="D25" s="7"/>
      <c r="E25" s="7"/>
      <c r="F25" s="7"/>
      <c r="G25" s="7"/>
      <c r="H25" s="7">
        <v>1</v>
      </c>
      <c r="I25" s="7">
        <v>1</v>
      </c>
      <c r="J25" s="7"/>
    </row>
    <row r="26" spans="1:10" ht="13.5" thickBot="1" x14ac:dyDescent="0.25">
      <c r="A26" s="29"/>
      <c r="B26" s="4" t="s">
        <v>12</v>
      </c>
      <c r="C26" s="6"/>
      <c r="D26" s="4">
        <v>2</v>
      </c>
      <c r="E26" s="6"/>
      <c r="F26" s="6"/>
      <c r="G26" s="6"/>
      <c r="H26" s="6"/>
      <c r="I26" s="6"/>
      <c r="J26" s="6"/>
    </row>
    <row r="27" spans="1:10" ht="13.5" thickBot="1" x14ac:dyDescent="0.25">
      <c r="A27" s="29"/>
      <c r="B27" s="7" t="s">
        <v>13</v>
      </c>
      <c r="C27" s="7"/>
      <c r="D27" s="7">
        <v>2</v>
      </c>
      <c r="E27" s="7"/>
      <c r="F27" s="7"/>
      <c r="G27" s="7"/>
      <c r="H27" s="7"/>
      <c r="I27" s="7"/>
      <c r="J27" s="7"/>
    </row>
    <row r="28" spans="1:10" ht="13.5" thickBot="1" x14ac:dyDescent="0.25">
      <c r="A28" s="29"/>
      <c r="B28" s="4" t="s">
        <v>14</v>
      </c>
      <c r="C28" s="6"/>
      <c r="D28" s="6"/>
      <c r="E28" s="6"/>
      <c r="F28" s="6">
        <v>4</v>
      </c>
      <c r="G28" s="6"/>
      <c r="H28" s="6"/>
      <c r="I28" s="6">
        <v>4</v>
      </c>
      <c r="J28" s="6"/>
    </row>
    <row r="29" spans="1:10" ht="13.5" thickBot="1" x14ac:dyDescent="0.25">
      <c r="A29" s="30"/>
      <c r="B29" s="7" t="s">
        <v>15</v>
      </c>
      <c r="C29" s="7"/>
      <c r="D29" s="7"/>
      <c r="E29" s="7">
        <v>1</v>
      </c>
      <c r="F29" s="7"/>
      <c r="G29" s="7"/>
      <c r="H29" s="7"/>
      <c r="I29" s="7"/>
      <c r="J29" s="7"/>
    </row>
    <row r="30" spans="1:10" ht="13.5" thickBot="1" x14ac:dyDescent="0.25">
      <c r="A30" s="28" t="s">
        <v>25</v>
      </c>
      <c r="B30" s="4" t="s">
        <v>10</v>
      </c>
      <c r="C30" s="5"/>
      <c r="D30" s="6"/>
      <c r="E30" s="6"/>
      <c r="F30" s="6"/>
      <c r="G30" s="6"/>
      <c r="H30" s="6">
        <v>1</v>
      </c>
      <c r="I30" s="6">
        <v>1</v>
      </c>
      <c r="J30" s="6"/>
    </row>
    <row r="31" spans="1:10" ht="13.5" thickBot="1" x14ac:dyDescent="0.25">
      <c r="A31" s="29"/>
      <c r="B31" s="7" t="s">
        <v>24</v>
      </c>
      <c r="C31" s="7"/>
      <c r="D31" s="7"/>
      <c r="E31" s="7"/>
      <c r="F31" s="7"/>
      <c r="G31" s="7"/>
      <c r="H31" s="7">
        <v>1</v>
      </c>
      <c r="I31" s="7">
        <v>1</v>
      </c>
      <c r="J31" s="7"/>
    </row>
    <row r="32" spans="1:10" ht="13.5" thickBot="1" x14ac:dyDescent="0.25">
      <c r="A32" s="29"/>
      <c r="B32" s="4" t="s">
        <v>12</v>
      </c>
      <c r="C32" s="6"/>
      <c r="D32" s="4">
        <v>1</v>
      </c>
      <c r="E32" s="6"/>
      <c r="F32" s="6"/>
      <c r="G32" s="6"/>
      <c r="H32" s="6"/>
      <c r="I32" s="6"/>
      <c r="J32" s="6"/>
    </row>
    <row r="33" spans="1:10" ht="13.5" thickBot="1" x14ac:dyDescent="0.25">
      <c r="A33" s="29"/>
      <c r="B33" s="7" t="s">
        <v>13</v>
      </c>
      <c r="C33" s="7"/>
      <c r="D33" s="7">
        <v>2</v>
      </c>
      <c r="E33" s="7"/>
      <c r="F33" s="7"/>
      <c r="G33" s="7"/>
      <c r="H33" s="7"/>
      <c r="I33" s="7"/>
      <c r="J33" s="7"/>
    </row>
    <row r="34" spans="1:10" ht="13.5" thickBot="1" x14ac:dyDescent="0.25">
      <c r="A34" s="29"/>
      <c r="B34" s="4" t="s">
        <v>14</v>
      </c>
      <c r="C34" s="6"/>
      <c r="D34" s="6"/>
      <c r="E34" s="6"/>
      <c r="F34" s="6">
        <v>4</v>
      </c>
      <c r="G34" s="6"/>
      <c r="H34" s="6"/>
      <c r="I34" s="6">
        <v>4</v>
      </c>
      <c r="J34" s="6"/>
    </row>
    <row r="35" spans="1:10" ht="13.5" thickBot="1" x14ac:dyDescent="0.25">
      <c r="A35" s="30"/>
      <c r="B35" s="7" t="s">
        <v>15</v>
      </c>
      <c r="C35" s="7"/>
      <c r="D35" s="7"/>
      <c r="E35" s="7">
        <v>1</v>
      </c>
      <c r="F35" s="7"/>
      <c r="G35" s="7"/>
      <c r="H35" s="7"/>
      <c r="I35" s="7"/>
      <c r="J35" s="7"/>
    </row>
    <row r="36" spans="1:10" ht="13.5" thickBot="1" x14ac:dyDescent="0.25">
      <c r="A36" s="28" t="s">
        <v>26</v>
      </c>
      <c r="B36" s="4" t="s">
        <v>10</v>
      </c>
      <c r="C36" s="6"/>
      <c r="D36" s="6"/>
      <c r="E36" s="6"/>
      <c r="F36" s="6"/>
      <c r="G36" s="6"/>
      <c r="H36" s="6">
        <v>1</v>
      </c>
      <c r="I36" s="6">
        <v>1</v>
      </c>
      <c r="J36" s="6"/>
    </row>
    <row r="37" spans="1:10" ht="13.5" thickBot="1" x14ac:dyDescent="0.25">
      <c r="A37" s="29"/>
      <c r="B37" s="7" t="s">
        <v>27</v>
      </c>
      <c r="C37" s="7"/>
      <c r="D37" s="7"/>
      <c r="E37" s="7"/>
      <c r="F37" s="7"/>
      <c r="G37" s="7"/>
      <c r="H37" s="7">
        <v>1</v>
      </c>
      <c r="I37" s="7">
        <v>1</v>
      </c>
      <c r="J37" s="7"/>
    </row>
    <row r="38" spans="1:10" ht="13.5" thickBot="1" x14ac:dyDescent="0.25">
      <c r="A38" s="29"/>
      <c r="B38" s="4" t="s">
        <v>12</v>
      </c>
      <c r="C38" s="6"/>
      <c r="D38" s="4">
        <v>1</v>
      </c>
      <c r="E38" s="6"/>
      <c r="F38" s="6"/>
      <c r="G38" s="6"/>
      <c r="H38" s="6"/>
      <c r="I38" s="6"/>
      <c r="J38" s="6"/>
    </row>
    <row r="39" spans="1:10" ht="13.5" thickBot="1" x14ac:dyDescent="0.25">
      <c r="A39" s="29"/>
      <c r="B39" s="7" t="s">
        <v>13</v>
      </c>
      <c r="C39" s="7"/>
      <c r="D39" s="7">
        <v>1</v>
      </c>
      <c r="E39" s="7"/>
      <c r="F39" s="7"/>
      <c r="G39" s="7"/>
      <c r="H39" s="7"/>
      <c r="I39" s="7"/>
      <c r="J39" s="7"/>
    </row>
    <row r="40" spans="1:10" ht="13.5" thickBot="1" x14ac:dyDescent="0.25">
      <c r="A40" s="29"/>
      <c r="B40" s="4" t="s">
        <v>14</v>
      </c>
      <c r="C40" s="6"/>
      <c r="D40" s="6"/>
      <c r="E40" s="6"/>
      <c r="F40" s="6">
        <v>2</v>
      </c>
      <c r="G40" s="6"/>
      <c r="H40" s="6"/>
      <c r="I40" s="6">
        <v>2</v>
      </c>
      <c r="J40" s="6"/>
    </row>
    <row r="41" spans="1:10" ht="13.5" thickBot="1" x14ac:dyDescent="0.25">
      <c r="A41" s="30"/>
      <c r="B41" s="7" t="s">
        <v>28</v>
      </c>
      <c r="C41" s="7"/>
      <c r="D41" s="7"/>
      <c r="E41" s="7"/>
      <c r="F41" s="7"/>
      <c r="G41" s="7"/>
      <c r="H41" s="7">
        <v>1</v>
      </c>
      <c r="I41" s="7">
        <v>1</v>
      </c>
      <c r="J41" s="7"/>
    </row>
    <row r="42" spans="1:10" ht="13.5" thickBot="1" x14ac:dyDescent="0.25">
      <c r="A42" s="28" t="s">
        <v>29</v>
      </c>
      <c r="B42" s="4" t="s">
        <v>10</v>
      </c>
      <c r="C42" s="6"/>
      <c r="D42" s="6"/>
      <c r="E42" s="6"/>
      <c r="F42" s="6"/>
      <c r="G42" s="6"/>
      <c r="H42" s="6">
        <v>1</v>
      </c>
      <c r="I42" s="6">
        <v>1</v>
      </c>
      <c r="J42" s="6"/>
    </row>
    <row r="43" spans="1:10" ht="13.5" thickBot="1" x14ac:dyDescent="0.25">
      <c r="A43" s="29"/>
      <c r="B43" s="7" t="s">
        <v>27</v>
      </c>
      <c r="C43" s="7"/>
      <c r="D43" s="7"/>
      <c r="E43" s="7"/>
      <c r="F43" s="7"/>
      <c r="G43" s="7"/>
      <c r="H43" s="7">
        <v>1</v>
      </c>
      <c r="I43" s="7">
        <v>1</v>
      </c>
      <c r="J43" s="7"/>
    </row>
    <row r="44" spans="1:10" ht="13.5" thickBot="1" x14ac:dyDescent="0.25">
      <c r="A44" s="29"/>
      <c r="B44" s="4" t="s">
        <v>12</v>
      </c>
      <c r="C44" s="6"/>
      <c r="D44" s="4">
        <v>1</v>
      </c>
      <c r="E44" s="6"/>
      <c r="F44" s="6"/>
      <c r="G44" s="6"/>
      <c r="H44" s="6"/>
      <c r="I44" s="6"/>
      <c r="J44" s="6"/>
    </row>
    <row r="45" spans="1:10" ht="13.5" thickBot="1" x14ac:dyDescent="0.25">
      <c r="A45" s="29"/>
      <c r="B45" s="7" t="s">
        <v>13</v>
      </c>
      <c r="C45" s="7"/>
      <c r="D45" s="7">
        <v>1</v>
      </c>
      <c r="E45" s="7"/>
      <c r="F45" s="7"/>
      <c r="G45" s="7"/>
      <c r="H45" s="7"/>
      <c r="I45" s="7"/>
      <c r="J45" s="7"/>
    </row>
    <row r="46" spans="1:10" ht="13.5" thickBot="1" x14ac:dyDescent="0.25">
      <c r="A46" s="30"/>
      <c r="B46" s="4" t="s">
        <v>14</v>
      </c>
      <c r="C46" s="6"/>
      <c r="D46" s="6"/>
      <c r="E46" s="6"/>
      <c r="F46" s="6">
        <v>2</v>
      </c>
      <c r="G46" s="6"/>
      <c r="H46" s="6"/>
      <c r="I46" s="6">
        <v>2</v>
      </c>
      <c r="J46" s="6"/>
    </row>
    <row r="47" spans="1:10" ht="13.5" thickBot="1" x14ac:dyDescent="0.25">
      <c r="A47" s="31" t="s">
        <v>30</v>
      </c>
      <c r="B47" s="7" t="s">
        <v>10</v>
      </c>
      <c r="C47" s="7"/>
      <c r="D47" s="7"/>
      <c r="E47" s="7"/>
      <c r="F47" s="7"/>
      <c r="G47" s="7"/>
      <c r="H47" s="7">
        <v>1</v>
      </c>
      <c r="I47" s="7">
        <v>1</v>
      </c>
      <c r="J47" s="7"/>
    </row>
    <row r="48" spans="1:10" ht="13.5" thickBot="1" x14ac:dyDescent="0.25">
      <c r="A48" s="32"/>
      <c r="B48" s="4" t="s">
        <v>12</v>
      </c>
      <c r="C48" s="6"/>
      <c r="D48" s="4">
        <v>1</v>
      </c>
      <c r="E48" s="6"/>
      <c r="F48" s="6"/>
      <c r="G48" s="6"/>
      <c r="H48" s="6">
        <v>1</v>
      </c>
      <c r="I48" s="6">
        <v>1</v>
      </c>
      <c r="J48" s="6"/>
    </row>
    <row r="49" spans="1:10" ht="13.5" thickBot="1" x14ac:dyDescent="0.25">
      <c r="A49" s="32"/>
      <c r="B49" s="7" t="s">
        <v>13</v>
      </c>
      <c r="C49" s="7"/>
      <c r="D49" s="7">
        <v>1</v>
      </c>
      <c r="E49" s="7"/>
      <c r="F49" s="7"/>
      <c r="G49" s="7"/>
      <c r="H49" s="7"/>
      <c r="I49" s="7"/>
      <c r="J49" s="7"/>
    </row>
    <row r="50" spans="1:10" ht="13.5" thickBot="1" x14ac:dyDescent="0.25">
      <c r="A50" s="33"/>
      <c r="B50" s="4" t="s">
        <v>14</v>
      </c>
      <c r="C50" s="6"/>
      <c r="D50" s="6"/>
      <c r="E50" s="6"/>
      <c r="F50" s="6">
        <v>2</v>
      </c>
      <c r="G50" s="6"/>
      <c r="H50" s="6"/>
      <c r="I50" s="6">
        <v>2</v>
      </c>
      <c r="J50" s="6"/>
    </row>
    <row r="51" spans="1:10" ht="13.5" thickBot="1" x14ac:dyDescent="0.25">
      <c r="A51" s="31" t="s">
        <v>31</v>
      </c>
      <c r="B51" s="7" t="s">
        <v>10</v>
      </c>
      <c r="C51" s="7"/>
      <c r="D51" s="7"/>
      <c r="E51" s="7"/>
      <c r="F51" s="7"/>
      <c r="G51" s="7"/>
      <c r="H51" s="7">
        <v>1</v>
      </c>
      <c r="I51" s="7">
        <v>1</v>
      </c>
      <c r="J51" s="7"/>
    </row>
    <row r="52" spans="1:10" ht="13.5" thickBot="1" x14ac:dyDescent="0.25">
      <c r="A52" s="33"/>
      <c r="B52" s="4" t="s">
        <v>12</v>
      </c>
      <c r="C52" s="6"/>
      <c r="D52" s="4">
        <v>1</v>
      </c>
      <c r="E52" s="6"/>
      <c r="F52" s="6"/>
      <c r="G52" s="6"/>
      <c r="H52" s="6"/>
      <c r="I52" s="6"/>
      <c r="J52" s="6"/>
    </row>
    <row r="53" spans="1:10" ht="13.5" thickBot="1" x14ac:dyDescent="0.25">
      <c r="A53" s="8" t="s">
        <v>52</v>
      </c>
      <c r="B53" s="7"/>
      <c r="C53" s="7"/>
      <c r="D53" s="7">
        <f>SUM(D2:D52)</f>
        <v>23</v>
      </c>
      <c r="E53" s="7">
        <f t="shared" ref="E53:J53" si="0">SUM(E2:E52)</f>
        <v>5</v>
      </c>
      <c r="F53" s="7">
        <f t="shared" si="0"/>
        <v>22</v>
      </c>
      <c r="G53" s="7">
        <f t="shared" si="0"/>
        <v>0</v>
      </c>
      <c r="H53" s="7">
        <f t="shared" si="0"/>
        <v>20</v>
      </c>
      <c r="I53" s="7">
        <f t="shared" si="0"/>
        <v>41</v>
      </c>
      <c r="J53" s="7">
        <f t="shared" si="0"/>
        <v>0</v>
      </c>
    </row>
    <row r="55" spans="1:10" ht="12.75" thickBot="1" x14ac:dyDescent="0.25"/>
    <row r="56" spans="1:10" ht="13.5" thickBot="1" x14ac:dyDescent="0.25">
      <c r="A56" s="1" t="s">
        <v>32</v>
      </c>
      <c r="B56" s="2" t="s">
        <v>77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3" t="s">
        <v>8</v>
      </c>
    </row>
    <row r="57" spans="1:10" ht="13.5" thickBot="1" x14ac:dyDescent="0.25">
      <c r="A57" s="24" t="s">
        <v>33</v>
      </c>
      <c r="B57" s="4" t="s">
        <v>34</v>
      </c>
      <c r="C57" s="6"/>
      <c r="D57" s="6"/>
      <c r="E57" s="6"/>
      <c r="F57" s="6"/>
      <c r="G57" s="6"/>
      <c r="H57" s="6">
        <v>1</v>
      </c>
      <c r="I57" s="6">
        <v>1</v>
      </c>
      <c r="J57" s="6"/>
    </row>
    <row r="58" spans="1:10" ht="13.5" thickBot="1" x14ac:dyDescent="0.25">
      <c r="A58" s="25"/>
      <c r="B58" s="7" t="s">
        <v>35</v>
      </c>
      <c r="C58" s="7"/>
      <c r="D58" s="7"/>
      <c r="E58" s="7"/>
      <c r="F58" s="7"/>
      <c r="G58" s="7"/>
      <c r="H58" s="7">
        <v>1</v>
      </c>
      <c r="I58" s="7">
        <v>1</v>
      </c>
      <c r="J58" s="7"/>
    </row>
    <row r="59" spans="1:10" ht="13.5" thickBot="1" x14ac:dyDescent="0.25">
      <c r="A59" s="25"/>
      <c r="B59" s="4" t="s">
        <v>12</v>
      </c>
      <c r="C59" s="6"/>
      <c r="D59" s="4">
        <v>1</v>
      </c>
      <c r="E59" s="6"/>
      <c r="F59" s="6"/>
      <c r="G59" s="6"/>
      <c r="H59" s="6"/>
      <c r="I59" s="6"/>
      <c r="J59" s="6"/>
    </row>
    <row r="60" spans="1:10" ht="13.5" thickBot="1" x14ac:dyDescent="0.25">
      <c r="A60" s="26"/>
      <c r="B60" s="7" t="s">
        <v>36</v>
      </c>
      <c r="C60" s="7"/>
      <c r="D60" s="7"/>
      <c r="E60" s="7"/>
      <c r="F60" s="7">
        <v>2</v>
      </c>
      <c r="G60" s="7"/>
      <c r="H60" s="7"/>
      <c r="I60" s="7">
        <v>2</v>
      </c>
      <c r="J60" s="7"/>
    </row>
    <row r="61" spans="1:10" ht="13.5" thickBot="1" x14ac:dyDescent="0.25">
      <c r="A61" s="27" t="s">
        <v>37</v>
      </c>
      <c r="B61" s="4" t="s">
        <v>38</v>
      </c>
      <c r="C61" s="5"/>
      <c r="D61" s="6"/>
      <c r="E61" s="6"/>
      <c r="F61" s="6"/>
      <c r="G61" s="6"/>
      <c r="H61" s="6">
        <v>1</v>
      </c>
      <c r="I61" s="6">
        <v>1</v>
      </c>
      <c r="J61" s="6"/>
    </row>
    <row r="62" spans="1:10" ht="13.5" thickBot="1" x14ac:dyDescent="0.25">
      <c r="A62" s="25"/>
      <c r="B62" s="7" t="s">
        <v>39</v>
      </c>
      <c r="C62" s="7"/>
      <c r="D62" s="7">
        <v>1</v>
      </c>
      <c r="E62" s="7"/>
      <c r="F62" s="7"/>
      <c r="G62" s="7"/>
      <c r="H62" s="7"/>
      <c r="I62" s="7"/>
      <c r="J62" s="7"/>
    </row>
    <row r="63" spans="1:10" ht="13.5" thickBot="1" x14ac:dyDescent="0.25">
      <c r="A63" s="26"/>
      <c r="B63" s="4" t="s">
        <v>40</v>
      </c>
      <c r="C63" s="6"/>
      <c r="D63" s="6"/>
      <c r="E63" s="6"/>
      <c r="F63" s="6"/>
      <c r="G63" s="6"/>
      <c r="H63" s="6"/>
      <c r="I63" s="6"/>
      <c r="J63" s="4">
        <v>8</v>
      </c>
    </row>
    <row r="64" spans="1:10" ht="13.5" thickBot="1" x14ac:dyDescent="0.25">
      <c r="A64" s="8" t="s">
        <v>41</v>
      </c>
      <c r="B64" s="7" t="s">
        <v>42</v>
      </c>
      <c r="C64" s="7"/>
      <c r="D64" s="7"/>
      <c r="E64" s="7"/>
      <c r="F64" s="7"/>
      <c r="G64" s="7"/>
      <c r="H64" s="7">
        <v>1</v>
      </c>
      <c r="I64" s="7">
        <v>1</v>
      </c>
      <c r="J64" s="7"/>
    </row>
    <row r="65" spans="1:17" ht="13.5" thickBot="1" x14ac:dyDescent="0.25">
      <c r="A65" s="27" t="s">
        <v>43</v>
      </c>
      <c r="B65" s="4" t="s">
        <v>44</v>
      </c>
      <c r="C65" s="6"/>
      <c r="D65" s="6">
        <v>1</v>
      </c>
      <c r="E65" s="6"/>
      <c r="F65" s="6"/>
      <c r="G65" s="6"/>
      <c r="H65" s="6"/>
      <c r="I65" s="6"/>
      <c r="J65" s="6"/>
    </row>
    <row r="66" spans="1:17" ht="13.5" thickBot="1" x14ac:dyDescent="0.25">
      <c r="A66" s="26"/>
      <c r="B66" s="7" t="s">
        <v>45</v>
      </c>
      <c r="C66" s="7"/>
      <c r="D66" s="7"/>
      <c r="E66" s="7">
        <v>1</v>
      </c>
      <c r="F66" s="7"/>
      <c r="G66" s="7"/>
      <c r="H66" s="7"/>
      <c r="I66" s="7"/>
      <c r="J66" s="7"/>
    </row>
    <row r="67" spans="1:17" ht="13.5" thickBot="1" x14ac:dyDescent="0.25">
      <c r="A67" s="27" t="s">
        <v>46</v>
      </c>
      <c r="B67" s="4" t="s">
        <v>44</v>
      </c>
      <c r="C67" s="5"/>
      <c r="D67" s="5"/>
      <c r="E67" s="5"/>
      <c r="F67" s="6"/>
      <c r="G67" s="6"/>
      <c r="H67" s="6"/>
      <c r="I67" s="6">
        <v>1</v>
      </c>
      <c r="J67" s="6"/>
    </row>
    <row r="68" spans="1:17" ht="13.5" thickBot="1" x14ac:dyDescent="0.25">
      <c r="A68" s="25"/>
      <c r="B68" s="7" t="s">
        <v>47</v>
      </c>
      <c r="C68" s="7"/>
      <c r="D68" s="7"/>
      <c r="E68" s="7"/>
      <c r="F68" s="7"/>
      <c r="G68" s="7"/>
      <c r="H68" s="7"/>
      <c r="I68" s="7">
        <v>2</v>
      </c>
      <c r="J68" s="7"/>
    </row>
    <row r="69" spans="1:17" ht="13.5" thickBot="1" x14ac:dyDescent="0.25">
      <c r="A69" s="25"/>
      <c r="B69" s="4" t="s">
        <v>48</v>
      </c>
      <c r="C69" s="6"/>
      <c r="D69" s="6"/>
      <c r="E69" s="6"/>
      <c r="F69" s="6"/>
      <c r="G69" s="6"/>
      <c r="H69" s="6"/>
      <c r="I69" s="6">
        <v>2</v>
      </c>
      <c r="J69" s="6"/>
    </row>
    <row r="70" spans="1:17" ht="13.5" thickBot="1" x14ac:dyDescent="0.25">
      <c r="A70" s="25"/>
      <c r="B70" s="7" t="s">
        <v>49</v>
      </c>
      <c r="C70" s="7"/>
      <c r="D70" s="7"/>
      <c r="E70" s="7"/>
      <c r="F70" s="7"/>
      <c r="G70" s="7"/>
      <c r="H70" s="7"/>
      <c r="I70" s="7">
        <v>2</v>
      </c>
      <c r="J70" s="7"/>
    </row>
    <row r="71" spans="1:17" ht="13.5" thickBot="1" x14ac:dyDescent="0.25">
      <c r="A71" s="26"/>
      <c r="B71" s="4" t="s">
        <v>50</v>
      </c>
      <c r="C71" s="6"/>
      <c r="D71" s="6"/>
      <c r="E71" s="6">
        <v>2</v>
      </c>
      <c r="F71" s="6"/>
      <c r="G71" s="6"/>
      <c r="H71" s="6"/>
      <c r="I71" s="6"/>
      <c r="J71" s="6"/>
    </row>
    <row r="72" spans="1:17" ht="13.5" thickBot="1" x14ac:dyDescent="0.25">
      <c r="A72" s="8" t="s">
        <v>51</v>
      </c>
      <c r="B72" s="7"/>
      <c r="C72" s="7"/>
      <c r="D72" s="7">
        <f t="shared" ref="D72:J72" si="1">SUM(D57:D71)</f>
        <v>3</v>
      </c>
      <c r="E72" s="7">
        <f t="shared" si="1"/>
        <v>3</v>
      </c>
      <c r="F72" s="7">
        <f t="shared" si="1"/>
        <v>2</v>
      </c>
      <c r="G72" s="7">
        <f t="shared" si="1"/>
        <v>0</v>
      </c>
      <c r="H72" s="7">
        <f t="shared" si="1"/>
        <v>4</v>
      </c>
      <c r="I72" s="7">
        <f t="shared" si="1"/>
        <v>13</v>
      </c>
      <c r="J72" s="7">
        <f t="shared" si="1"/>
        <v>8</v>
      </c>
    </row>
    <row r="73" spans="1:17" ht="12.75" x14ac:dyDescent="0.2">
      <c r="A73" s="12"/>
      <c r="B73" s="13"/>
      <c r="C73" s="13"/>
      <c r="D73" s="13"/>
      <c r="E73" s="13"/>
      <c r="F73" s="13"/>
      <c r="G73" s="13"/>
      <c r="H73" s="13"/>
      <c r="I73" s="13"/>
      <c r="J73" s="13"/>
    </row>
    <row r="74" spans="1:17" ht="12.75" thickBot="1" x14ac:dyDescent="0.25"/>
    <row r="75" spans="1:17" ht="13.5" thickBot="1" x14ac:dyDescent="0.25">
      <c r="A75" s="1" t="s">
        <v>32</v>
      </c>
      <c r="B75" s="2" t="s">
        <v>75</v>
      </c>
      <c r="C75" s="2" t="s">
        <v>1</v>
      </c>
      <c r="D75" s="2" t="s">
        <v>2</v>
      </c>
      <c r="E75" s="2" t="s">
        <v>3</v>
      </c>
      <c r="F75" s="2" t="s">
        <v>4</v>
      </c>
      <c r="G75" s="2" t="s">
        <v>5</v>
      </c>
      <c r="H75" s="2" t="s">
        <v>6</v>
      </c>
      <c r="I75" s="2" t="s">
        <v>7</v>
      </c>
      <c r="J75" s="3" t="s">
        <v>8</v>
      </c>
    </row>
    <row r="76" spans="1:17" ht="19.5" thickBot="1" x14ac:dyDescent="0.25">
      <c r="A76" s="8" t="s">
        <v>52</v>
      </c>
      <c r="B76" s="7"/>
      <c r="C76" s="7">
        <f t="shared" ref="C76:J76" si="2">+C53</f>
        <v>0</v>
      </c>
      <c r="D76" s="7">
        <f t="shared" si="2"/>
        <v>23</v>
      </c>
      <c r="E76" s="7">
        <f t="shared" si="2"/>
        <v>5</v>
      </c>
      <c r="F76" s="7">
        <f t="shared" si="2"/>
        <v>22</v>
      </c>
      <c r="G76" s="7">
        <f t="shared" si="2"/>
        <v>0</v>
      </c>
      <c r="H76" s="7">
        <f t="shared" si="2"/>
        <v>20</v>
      </c>
      <c r="I76" s="7">
        <f t="shared" si="2"/>
        <v>41</v>
      </c>
      <c r="J76" s="7">
        <f t="shared" si="2"/>
        <v>0</v>
      </c>
      <c r="N76" s="34" t="s">
        <v>55</v>
      </c>
      <c r="O76" s="34"/>
      <c r="P76" s="34"/>
      <c r="Q76" s="34"/>
    </row>
    <row r="77" spans="1:17" ht="13.5" thickBot="1" x14ac:dyDescent="0.25">
      <c r="A77" s="9" t="s">
        <v>51</v>
      </c>
      <c r="B77" s="4"/>
      <c r="C77" s="6">
        <f>+C72</f>
        <v>0</v>
      </c>
      <c r="D77" s="6">
        <f t="shared" ref="D77:J77" si="3">+D72</f>
        <v>3</v>
      </c>
      <c r="E77" s="6">
        <f t="shared" si="3"/>
        <v>3</v>
      </c>
      <c r="F77" s="6">
        <f t="shared" si="3"/>
        <v>2</v>
      </c>
      <c r="G77" s="6">
        <f t="shared" si="3"/>
        <v>0</v>
      </c>
      <c r="H77" s="6">
        <f t="shared" si="3"/>
        <v>4</v>
      </c>
      <c r="I77" s="6">
        <f t="shared" si="3"/>
        <v>13</v>
      </c>
      <c r="J77" s="6">
        <f t="shared" si="3"/>
        <v>8</v>
      </c>
    </row>
    <row r="78" spans="1:17" ht="15.75" thickBot="1" x14ac:dyDescent="0.25">
      <c r="A78" s="8" t="s">
        <v>84</v>
      </c>
      <c r="B78" s="7"/>
      <c r="C78" s="7">
        <v>0</v>
      </c>
      <c r="D78" s="7">
        <f>SUM(D76:D77)</f>
        <v>26</v>
      </c>
      <c r="E78" s="7">
        <f t="shared" ref="E78:J78" si="4">SUM(E76:E77)</f>
        <v>8</v>
      </c>
      <c r="F78" s="7">
        <f t="shared" si="4"/>
        <v>24</v>
      </c>
      <c r="G78" s="7">
        <f t="shared" si="4"/>
        <v>0</v>
      </c>
      <c r="H78" s="7">
        <f t="shared" si="4"/>
        <v>24</v>
      </c>
      <c r="I78" s="7">
        <f t="shared" si="4"/>
        <v>54</v>
      </c>
      <c r="J78" s="7">
        <f t="shared" si="4"/>
        <v>8</v>
      </c>
      <c r="N78" s="10" t="s">
        <v>56</v>
      </c>
      <c r="O78" s="10" t="s">
        <v>57</v>
      </c>
      <c r="P78" s="10" t="s">
        <v>58</v>
      </c>
      <c r="Q78" s="10" t="s">
        <v>59</v>
      </c>
    </row>
    <row r="79" spans="1:17" ht="13.5" thickBot="1" x14ac:dyDescent="0.25">
      <c r="A79" s="9" t="s">
        <v>53</v>
      </c>
      <c r="B79" s="4"/>
      <c r="C79" s="6" t="s">
        <v>85</v>
      </c>
      <c r="D79" s="6">
        <v>16</v>
      </c>
      <c r="E79" s="6">
        <v>6</v>
      </c>
      <c r="F79" s="6">
        <v>12</v>
      </c>
      <c r="G79" s="6">
        <v>10</v>
      </c>
      <c r="H79" s="6">
        <v>16</v>
      </c>
      <c r="I79" s="6">
        <v>16</v>
      </c>
      <c r="J79" s="6">
        <v>8</v>
      </c>
      <c r="N79" s="11" t="s">
        <v>1</v>
      </c>
      <c r="O79" s="11">
        <v>0</v>
      </c>
      <c r="P79" s="11" t="s">
        <v>60</v>
      </c>
      <c r="Q79" s="11" t="s">
        <v>61</v>
      </c>
    </row>
    <row r="80" spans="1:17" ht="13.5" thickBot="1" x14ac:dyDescent="0.25">
      <c r="A80" s="8" t="s">
        <v>54</v>
      </c>
      <c r="B80" s="7">
        <v>1</v>
      </c>
      <c r="C80" s="7">
        <v>0</v>
      </c>
      <c r="D80" s="7">
        <f t="shared" ref="D80:I80" si="5">CEILING(+D78/D79,1)</f>
        <v>2</v>
      </c>
      <c r="E80" s="7">
        <f t="shared" si="5"/>
        <v>2</v>
      </c>
      <c r="F80" s="7">
        <f t="shared" si="5"/>
        <v>2</v>
      </c>
      <c r="G80" s="7">
        <v>1</v>
      </c>
      <c r="H80" s="7">
        <f t="shared" si="5"/>
        <v>2</v>
      </c>
      <c r="I80" s="7">
        <f t="shared" si="5"/>
        <v>4</v>
      </c>
      <c r="J80" s="7">
        <f>CEILING(+J78/J79,1)</f>
        <v>1</v>
      </c>
      <c r="N80" s="11" t="s">
        <v>4</v>
      </c>
      <c r="O80" s="11">
        <v>2</v>
      </c>
      <c r="P80" s="11" t="s">
        <v>60</v>
      </c>
      <c r="Q80" s="11" t="s">
        <v>61</v>
      </c>
    </row>
    <row r="81" spans="1:17" ht="13.5" thickBot="1" x14ac:dyDescent="0.25">
      <c r="A81" s="8" t="s">
        <v>74</v>
      </c>
      <c r="B81" s="7">
        <f>+B80*4</f>
        <v>4</v>
      </c>
      <c r="C81" s="7">
        <f>+C80*2</f>
        <v>0</v>
      </c>
      <c r="D81" s="7">
        <f t="shared" ref="D81:I81" si="6">+D80*2</f>
        <v>4</v>
      </c>
      <c r="E81" s="7">
        <f t="shared" si="6"/>
        <v>4</v>
      </c>
      <c r="F81" s="7">
        <f>+F80*4</f>
        <v>8</v>
      </c>
      <c r="G81" s="7">
        <f>+G80*4</f>
        <v>4</v>
      </c>
      <c r="H81" s="7">
        <f t="shared" si="6"/>
        <v>4</v>
      </c>
      <c r="I81" s="7">
        <f t="shared" si="6"/>
        <v>8</v>
      </c>
      <c r="J81" s="7">
        <f>+J80*4</f>
        <v>4</v>
      </c>
      <c r="N81" s="11" t="s">
        <v>6</v>
      </c>
      <c r="O81" s="11">
        <v>2</v>
      </c>
      <c r="P81" s="11" t="s">
        <v>60</v>
      </c>
      <c r="Q81" s="11" t="s">
        <v>61</v>
      </c>
    </row>
    <row r="82" spans="1:17" ht="12.75" customHeight="1" thickBot="1" x14ac:dyDescent="0.25">
      <c r="A82" s="22" t="s">
        <v>78</v>
      </c>
      <c r="B82" s="23"/>
      <c r="C82" s="16">
        <f>+C80+F80+H80+I80+J80</f>
        <v>9</v>
      </c>
      <c r="D82" s="17" t="s">
        <v>81</v>
      </c>
      <c r="E82" s="20" t="s">
        <v>86</v>
      </c>
      <c r="F82" s="21"/>
      <c r="G82" s="13"/>
      <c r="H82" s="13"/>
      <c r="I82" s="13"/>
      <c r="J82" s="13"/>
      <c r="N82" s="11" t="s">
        <v>7</v>
      </c>
      <c r="O82" s="11">
        <v>4</v>
      </c>
      <c r="P82" s="11" t="s">
        <v>60</v>
      </c>
      <c r="Q82" s="11" t="s">
        <v>61</v>
      </c>
    </row>
    <row r="83" spans="1:17" ht="12.75" customHeight="1" thickBot="1" x14ac:dyDescent="0.25">
      <c r="A83" s="22" t="s">
        <v>79</v>
      </c>
      <c r="B83" s="23"/>
      <c r="C83" s="16">
        <f>+D80+E80+G80+J80</f>
        <v>6</v>
      </c>
      <c r="D83" s="17" t="s">
        <v>81</v>
      </c>
      <c r="E83" s="18" t="s">
        <v>83</v>
      </c>
      <c r="F83" s="19"/>
      <c r="G83" s="13"/>
      <c r="H83" s="13"/>
      <c r="I83" s="13"/>
      <c r="J83" s="13"/>
      <c r="N83" s="11" t="s">
        <v>8</v>
      </c>
      <c r="O83" s="11">
        <v>0</v>
      </c>
      <c r="P83" s="11" t="s">
        <v>62</v>
      </c>
      <c r="Q83" s="11" t="s">
        <v>61</v>
      </c>
    </row>
    <row r="84" spans="1:17" ht="12.75" customHeight="1" thickBot="1" x14ac:dyDescent="0.25">
      <c r="A84" s="22" t="s">
        <v>80</v>
      </c>
      <c r="B84" s="23"/>
      <c r="C84" s="16">
        <f>+D80+G80</f>
        <v>3</v>
      </c>
      <c r="D84" s="17" t="s">
        <v>82</v>
      </c>
      <c r="E84" s="18" t="s">
        <v>83</v>
      </c>
      <c r="F84" s="19"/>
      <c r="G84" s="13"/>
      <c r="H84" s="13"/>
      <c r="I84" s="13"/>
      <c r="J84" s="13"/>
      <c r="N84" s="11" t="s">
        <v>2</v>
      </c>
      <c r="O84" s="11">
        <v>2</v>
      </c>
      <c r="P84" s="11" t="s">
        <v>63</v>
      </c>
      <c r="Q84" s="11" t="s">
        <v>64</v>
      </c>
    </row>
    <row r="85" spans="1:17" ht="12.75" thickBot="1" x14ac:dyDescent="0.25">
      <c r="N85" s="11" t="s">
        <v>3</v>
      </c>
      <c r="O85" s="11">
        <v>2</v>
      </c>
      <c r="P85" s="11" t="s">
        <v>63</v>
      </c>
      <c r="Q85" s="11" t="s">
        <v>61</v>
      </c>
    </row>
    <row r="86" spans="1:17" ht="13.5" thickBot="1" x14ac:dyDescent="0.25">
      <c r="A86" s="1" t="s">
        <v>32</v>
      </c>
      <c r="B86" s="2" t="s">
        <v>75</v>
      </c>
      <c r="C86" s="2" t="s">
        <v>1</v>
      </c>
      <c r="D86" s="2" t="s">
        <v>2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3" t="s">
        <v>8</v>
      </c>
      <c r="N86" s="11" t="s">
        <v>5</v>
      </c>
      <c r="O86" s="11">
        <v>1</v>
      </c>
      <c r="P86" s="11" t="s">
        <v>63</v>
      </c>
      <c r="Q86" s="11" t="s">
        <v>64</v>
      </c>
    </row>
    <row r="87" spans="1:17" ht="13.5" thickBot="1" x14ac:dyDescent="0.25">
      <c r="A87" s="8" t="s">
        <v>52</v>
      </c>
      <c r="B87" s="7"/>
      <c r="C87" s="7">
        <f>+C76</f>
        <v>0</v>
      </c>
      <c r="D87" s="7">
        <f>+D76</f>
        <v>23</v>
      </c>
      <c r="E87" s="7">
        <f t="shared" ref="E87:J87" si="7">+E76</f>
        <v>5</v>
      </c>
      <c r="F87" s="7">
        <f t="shared" si="7"/>
        <v>22</v>
      </c>
      <c r="G87" s="7">
        <f t="shared" si="7"/>
        <v>0</v>
      </c>
      <c r="H87" s="7">
        <f t="shared" si="7"/>
        <v>20</v>
      </c>
      <c r="I87" s="7">
        <f t="shared" si="7"/>
        <v>41</v>
      </c>
      <c r="J87" s="7">
        <f t="shared" si="7"/>
        <v>0</v>
      </c>
    </row>
    <row r="88" spans="1:17" ht="15.75" thickBot="1" x14ac:dyDescent="0.25">
      <c r="A88" s="9" t="s">
        <v>53</v>
      </c>
      <c r="B88" s="4"/>
      <c r="C88" s="6">
        <v>8</v>
      </c>
      <c r="D88" s="6">
        <v>16</v>
      </c>
      <c r="E88" s="6">
        <v>6</v>
      </c>
      <c r="F88" s="6">
        <v>12</v>
      </c>
      <c r="G88" s="6">
        <v>10</v>
      </c>
      <c r="H88" s="6">
        <v>16</v>
      </c>
      <c r="I88" s="6">
        <v>16</v>
      </c>
      <c r="J88" s="6">
        <v>8</v>
      </c>
      <c r="N88" s="35" t="s">
        <v>65</v>
      </c>
      <c r="O88" s="35"/>
      <c r="P88" s="35"/>
      <c r="Q88" s="35"/>
    </row>
    <row r="89" spans="1:17" ht="15.75" thickBot="1" x14ac:dyDescent="0.25">
      <c r="A89" s="8" t="s">
        <v>54</v>
      </c>
      <c r="B89" s="7">
        <v>1</v>
      </c>
      <c r="C89" s="7">
        <f>CEILING(+C87/C88,1)</f>
        <v>0</v>
      </c>
      <c r="D89" s="7">
        <f>CEILING(+D87/D88,1)</f>
        <v>2</v>
      </c>
      <c r="E89" s="7">
        <f>CEILING(+E87/E88,1)</f>
        <v>1</v>
      </c>
      <c r="F89" s="7">
        <f t="shared" ref="F89" si="8">CEILING(+F87/F88,1)</f>
        <v>2</v>
      </c>
      <c r="G89" s="7">
        <v>0</v>
      </c>
      <c r="H89" s="7">
        <f t="shared" ref="H89" si="9">CEILING(+H87/H88,1)</f>
        <v>2</v>
      </c>
      <c r="I89" s="7">
        <f t="shared" ref="I89" si="10">CEILING(+I87/I88,1)</f>
        <v>3</v>
      </c>
      <c r="J89" s="7">
        <f>CEILING(+J87/J88,1)</f>
        <v>0</v>
      </c>
      <c r="N89" s="10" t="s">
        <v>66</v>
      </c>
      <c r="O89" s="10" t="s">
        <v>67</v>
      </c>
      <c r="P89" s="10" t="s">
        <v>68</v>
      </c>
      <c r="Q89" s="10" t="s">
        <v>69</v>
      </c>
    </row>
    <row r="90" spans="1:17" ht="13.5" thickBot="1" x14ac:dyDescent="0.25">
      <c r="A90" s="9" t="s">
        <v>74</v>
      </c>
      <c r="B90" s="4">
        <f>+B89*4</f>
        <v>4</v>
      </c>
      <c r="C90" s="6">
        <f t="shared" ref="C90:D90" si="11">+C89*2</f>
        <v>0</v>
      </c>
      <c r="D90" s="6">
        <f t="shared" si="11"/>
        <v>4</v>
      </c>
      <c r="E90" s="6">
        <f t="shared" ref="E90" si="12">+E89*2</f>
        <v>2</v>
      </c>
      <c r="F90" s="6">
        <f>+F89*4</f>
        <v>8</v>
      </c>
      <c r="G90" s="6">
        <f>+G89*4</f>
        <v>0</v>
      </c>
      <c r="H90" s="6">
        <f t="shared" ref="H90" si="13">+H89*2</f>
        <v>4</v>
      </c>
      <c r="I90" s="6">
        <f t="shared" ref="I90" si="14">+I89*2</f>
        <v>6</v>
      </c>
      <c r="J90" s="6">
        <f>+J89*4</f>
        <v>0</v>
      </c>
      <c r="N90" s="11" t="s">
        <v>70</v>
      </c>
      <c r="O90" s="11">
        <f>O79+O80+O81+O82+O83</f>
        <v>8</v>
      </c>
      <c r="P90" s="11">
        <v>8</v>
      </c>
      <c r="Q90" s="11"/>
    </row>
    <row r="91" spans="1:17" ht="13.5" thickBot="1" x14ac:dyDescent="0.25">
      <c r="A91" s="22" t="s">
        <v>78</v>
      </c>
      <c r="B91" s="23"/>
      <c r="C91" s="16">
        <f>+C89+F89+H89+I89+J89</f>
        <v>7</v>
      </c>
      <c r="D91" s="17" t="s">
        <v>81</v>
      </c>
      <c r="E91" s="18" t="s">
        <v>83</v>
      </c>
      <c r="F91" s="19"/>
      <c r="G91" s="13"/>
      <c r="H91" s="13"/>
      <c r="I91" s="13"/>
      <c r="J91" s="13"/>
      <c r="N91" s="11" t="s">
        <v>71</v>
      </c>
      <c r="O91" s="11">
        <f>O84+O85+O86+O83</f>
        <v>5</v>
      </c>
      <c r="P91" s="11">
        <v>8</v>
      </c>
      <c r="Q91" s="11"/>
    </row>
    <row r="92" spans="1:17" ht="13.5" thickBot="1" x14ac:dyDescent="0.25">
      <c r="A92" s="22" t="s">
        <v>79</v>
      </c>
      <c r="B92" s="23"/>
      <c r="C92" s="16">
        <f>+D89+E89+G89+J89</f>
        <v>3</v>
      </c>
      <c r="D92" s="17" t="s">
        <v>81</v>
      </c>
      <c r="E92" s="18" t="s">
        <v>83</v>
      </c>
      <c r="F92" s="19"/>
      <c r="G92" s="13"/>
      <c r="H92" s="13"/>
      <c r="I92" s="13"/>
      <c r="J92" s="13"/>
      <c r="N92" s="11" t="s">
        <v>72</v>
      </c>
      <c r="O92" s="11">
        <f>O84+O86</f>
        <v>3</v>
      </c>
      <c r="P92" s="11">
        <v>4</v>
      </c>
      <c r="Q92" s="11"/>
    </row>
    <row r="93" spans="1:17" ht="13.5" thickBot="1" x14ac:dyDescent="0.25">
      <c r="A93" s="22" t="s">
        <v>80</v>
      </c>
      <c r="B93" s="23"/>
      <c r="C93" s="16">
        <f>+D89+G89</f>
        <v>2</v>
      </c>
      <c r="D93" s="17" t="s">
        <v>82</v>
      </c>
      <c r="E93" s="18" t="s">
        <v>83</v>
      </c>
      <c r="F93" s="19"/>
      <c r="G93" s="13"/>
      <c r="H93" s="13"/>
      <c r="I93" s="13"/>
      <c r="J93" s="13"/>
    </row>
    <row r="94" spans="1:17" ht="13.5" thickBot="1" x14ac:dyDescent="0.25">
      <c r="A94" s="14"/>
      <c r="B94" s="14"/>
      <c r="C94" s="15"/>
      <c r="D94" s="12"/>
      <c r="E94" s="13"/>
      <c r="F94" s="13"/>
      <c r="G94" s="13"/>
      <c r="H94" s="13"/>
      <c r="I94" s="13"/>
      <c r="J94" s="13"/>
    </row>
    <row r="95" spans="1:17" ht="13.5" thickBot="1" x14ac:dyDescent="0.25">
      <c r="A95" s="1" t="s">
        <v>32</v>
      </c>
      <c r="B95" s="2" t="s">
        <v>75</v>
      </c>
      <c r="C95" s="2" t="s">
        <v>1</v>
      </c>
      <c r="D95" s="2" t="s">
        <v>2</v>
      </c>
      <c r="E95" s="2" t="s">
        <v>3</v>
      </c>
      <c r="F95" s="2" t="s">
        <v>4</v>
      </c>
      <c r="G95" s="2" t="s">
        <v>5</v>
      </c>
      <c r="H95" s="2" t="s">
        <v>6</v>
      </c>
      <c r="I95" s="2" t="s">
        <v>7</v>
      </c>
      <c r="J95" s="3" t="s">
        <v>8</v>
      </c>
      <c r="N95" s="36" t="s">
        <v>73</v>
      </c>
      <c r="O95" s="36"/>
      <c r="P95" s="36"/>
      <c r="Q95" s="36"/>
    </row>
    <row r="96" spans="1:17" ht="13.5" thickBot="1" x14ac:dyDescent="0.25">
      <c r="A96" s="9" t="s">
        <v>51</v>
      </c>
      <c r="B96" s="4"/>
      <c r="C96" s="6">
        <f>+C80</f>
        <v>0</v>
      </c>
      <c r="D96" s="6">
        <f>+D77</f>
        <v>3</v>
      </c>
      <c r="E96" s="6">
        <v>5</v>
      </c>
      <c r="F96" s="6">
        <v>0</v>
      </c>
      <c r="G96" s="6">
        <f>+G77</f>
        <v>0</v>
      </c>
      <c r="H96" s="6">
        <v>4</v>
      </c>
      <c r="I96" s="6">
        <f>+I77</f>
        <v>13</v>
      </c>
      <c r="J96" s="6">
        <f>+J77</f>
        <v>8</v>
      </c>
      <c r="N96" s="36"/>
      <c r="O96" s="36"/>
      <c r="P96" s="36"/>
      <c r="Q96" s="36"/>
    </row>
    <row r="97" spans="1:17" ht="13.5" thickBot="1" x14ac:dyDescent="0.25">
      <c r="A97" s="8" t="s">
        <v>53</v>
      </c>
      <c r="B97" s="7"/>
      <c r="C97" s="7">
        <f>+C88</f>
        <v>8</v>
      </c>
      <c r="D97" s="7">
        <v>16</v>
      </c>
      <c r="E97" s="7">
        <v>6</v>
      </c>
      <c r="F97" s="7">
        <v>12</v>
      </c>
      <c r="G97" s="7">
        <v>10</v>
      </c>
      <c r="H97" s="7">
        <v>16</v>
      </c>
      <c r="I97" s="7">
        <v>16</v>
      </c>
      <c r="J97" s="7">
        <v>8</v>
      </c>
      <c r="N97" s="36"/>
      <c r="O97" s="36"/>
      <c r="P97" s="36"/>
      <c r="Q97" s="36"/>
    </row>
    <row r="98" spans="1:17" ht="13.5" thickBot="1" x14ac:dyDescent="0.25">
      <c r="A98" s="9" t="s">
        <v>54</v>
      </c>
      <c r="B98" s="4">
        <v>1</v>
      </c>
      <c r="C98" s="6">
        <f>CEILING(+C96/C97,1)</f>
        <v>0</v>
      </c>
      <c r="D98" s="6">
        <f>CEILING(+D96/D97,1)</f>
        <v>1</v>
      </c>
      <c r="E98" s="6">
        <f t="shared" ref="E98:J98" si="15">CEILING(+E96/E97,1)</f>
        <v>1</v>
      </c>
      <c r="F98" s="6">
        <f t="shared" si="15"/>
        <v>0</v>
      </c>
      <c r="G98" s="6">
        <f t="shared" si="15"/>
        <v>0</v>
      </c>
      <c r="H98" s="6">
        <f t="shared" si="15"/>
        <v>1</v>
      </c>
      <c r="I98" s="6">
        <f t="shared" si="15"/>
        <v>1</v>
      </c>
      <c r="J98" s="6">
        <f t="shared" si="15"/>
        <v>1</v>
      </c>
      <c r="N98" s="36"/>
      <c r="O98" s="36"/>
      <c r="P98" s="36"/>
      <c r="Q98" s="36"/>
    </row>
    <row r="99" spans="1:17" ht="13.5" thickBot="1" x14ac:dyDescent="0.25">
      <c r="A99" s="8" t="s">
        <v>74</v>
      </c>
      <c r="B99" s="7">
        <f>+B98*4</f>
        <v>4</v>
      </c>
      <c r="C99" s="7">
        <f t="shared" ref="C99" si="16">+C98*2</f>
        <v>0</v>
      </c>
      <c r="D99" s="7">
        <f t="shared" ref="D99" si="17">+D98*2</f>
        <v>2</v>
      </c>
      <c r="E99" s="7">
        <f t="shared" ref="E99" si="18">+E98*2</f>
        <v>2</v>
      </c>
      <c r="F99" s="7">
        <f>+F98*4</f>
        <v>0</v>
      </c>
      <c r="G99" s="7">
        <f>+G98*4</f>
        <v>0</v>
      </c>
      <c r="H99" s="7">
        <f t="shared" ref="H99" si="19">+H98*2</f>
        <v>2</v>
      </c>
      <c r="I99" s="7">
        <f t="shared" ref="I99" si="20">+I98*2</f>
        <v>2</v>
      </c>
      <c r="J99" s="7">
        <f>+J98*4</f>
        <v>4</v>
      </c>
    </row>
    <row r="100" spans="1:17" ht="13.5" thickBot="1" x14ac:dyDescent="0.25">
      <c r="A100" s="22" t="s">
        <v>78</v>
      </c>
      <c r="B100" s="23"/>
      <c r="C100" s="16">
        <f>+C98+F98+H98+I98+J98</f>
        <v>3</v>
      </c>
      <c r="D100" s="17" t="s">
        <v>81</v>
      </c>
      <c r="E100" s="18" t="s">
        <v>83</v>
      </c>
      <c r="F100" s="19"/>
    </row>
    <row r="101" spans="1:17" ht="13.5" thickBot="1" x14ac:dyDescent="0.25">
      <c r="A101" s="22" t="s">
        <v>79</v>
      </c>
      <c r="B101" s="23"/>
      <c r="C101" s="16">
        <f>+D98+E98+G98+J98</f>
        <v>3</v>
      </c>
      <c r="D101" s="17" t="s">
        <v>81</v>
      </c>
      <c r="E101" s="18" t="s">
        <v>83</v>
      </c>
      <c r="F101" s="19"/>
    </row>
    <row r="102" spans="1:17" ht="13.5" thickBot="1" x14ac:dyDescent="0.25">
      <c r="A102" s="22" t="s">
        <v>80</v>
      </c>
      <c r="B102" s="23"/>
      <c r="C102" s="16">
        <f>+D98+G98</f>
        <v>1</v>
      </c>
      <c r="D102" s="17" t="s">
        <v>82</v>
      </c>
      <c r="E102" s="18" t="s">
        <v>83</v>
      </c>
      <c r="F102" s="19"/>
    </row>
    <row r="104" spans="1:17" x14ac:dyDescent="0.2">
      <c r="A104" t="s">
        <v>76</v>
      </c>
    </row>
  </sheetData>
  <mergeCells count="34">
    <mergeCell ref="A36:A41"/>
    <mergeCell ref="A2:A7"/>
    <mergeCell ref="A8:A13"/>
    <mergeCell ref="A14:A23"/>
    <mergeCell ref="A24:A29"/>
    <mergeCell ref="A30:A35"/>
    <mergeCell ref="N76:Q76"/>
    <mergeCell ref="N88:Q88"/>
    <mergeCell ref="N95:Q98"/>
    <mergeCell ref="A82:B82"/>
    <mergeCell ref="A83:B83"/>
    <mergeCell ref="A84:B84"/>
    <mergeCell ref="A91:B91"/>
    <mergeCell ref="A57:A60"/>
    <mergeCell ref="A61:A63"/>
    <mergeCell ref="A65:A66"/>
    <mergeCell ref="A67:A71"/>
    <mergeCell ref="A42:A46"/>
    <mergeCell ref="A47:A50"/>
    <mergeCell ref="A51:A52"/>
    <mergeCell ref="A92:B92"/>
    <mergeCell ref="A93:B93"/>
    <mergeCell ref="A100:B100"/>
    <mergeCell ref="A101:B101"/>
    <mergeCell ref="A102:B102"/>
    <mergeCell ref="E100:F100"/>
    <mergeCell ref="E101:F101"/>
    <mergeCell ref="E102:F102"/>
    <mergeCell ref="E82:F82"/>
    <mergeCell ref="E83:F83"/>
    <mergeCell ref="E84:F84"/>
    <mergeCell ref="E91:F91"/>
    <mergeCell ref="E92:F92"/>
    <mergeCell ref="E93:F93"/>
  </mergeCells>
  <conditionalFormatting sqref="O90:O91">
    <cfRule type="expression" dxfId="5" priority="1">
      <formula>O90&lt;=8*0.75</formula>
    </cfRule>
    <cfRule type="expression" dxfId="4" priority="2">
      <formula>AND(O90&gt;8*0.75,O90&lt;=8)</formula>
    </cfRule>
    <cfRule type="expression" dxfId="3" priority="3">
      <formula>O90&gt;8</formula>
    </cfRule>
  </conditionalFormatting>
  <conditionalFormatting sqref="O92">
    <cfRule type="expression" dxfId="2" priority="4">
      <formula>O92&lt;=4*0.75</formula>
    </cfRule>
    <cfRule type="expression" dxfId="1" priority="5">
      <formula>AND(O92&gt;4*0.75,O92&lt;=4)</formula>
    </cfRule>
    <cfRule type="expression" dxfId="0" priority="6">
      <formula>O92&gt;4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IPP-M-B</dc:creator>
  <cp:lastModifiedBy>IPP-M-B</cp:lastModifiedBy>
  <dcterms:created xsi:type="dcterms:W3CDTF">2026-02-04T07:28:44Z</dcterms:created>
  <dcterms:modified xsi:type="dcterms:W3CDTF">2026-02-04T10:58:00Z</dcterms:modified>
</cp:coreProperties>
</file>