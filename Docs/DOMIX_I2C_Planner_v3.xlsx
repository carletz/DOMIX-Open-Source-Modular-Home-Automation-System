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pp-m-b\Desktop\"/>
    </mc:Choice>
  </mc:AlternateContent>
  <xr:revisionPtr revIDLastSave="0" documentId="13_ncr:1_{926DE475-D0EE-4A88-92DF-789B0EEF85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omix I2C Plann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</calcChain>
</file>

<file path=xl/sharedStrings.xml><?xml version="1.0" encoding="utf-8"?>
<sst xmlns="http://schemas.openxmlformats.org/spreadsheetml/2006/main" count="38" uniqueCount="27">
  <si>
    <t>DOMIX – I²C Bus Configuration &amp; Validation Sheet (M2–M9)</t>
  </si>
  <si>
    <t>Module</t>
  </si>
  <si>
    <t>Quantity</t>
  </si>
  <si>
    <t>I²C Range Used</t>
  </si>
  <si>
    <t>ADS1115</t>
  </si>
  <si>
    <t>M2</t>
  </si>
  <si>
    <t>0x20–0x27</t>
  </si>
  <si>
    <t>No</t>
  </si>
  <si>
    <t>M5</t>
  </si>
  <si>
    <t>M7</t>
  </si>
  <si>
    <t>M8</t>
  </si>
  <si>
    <t>M9</t>
  </si>
  <si>
    <t>0x20–0x27 + 0x38–0x3F</t>
  </si>
  <si>
    <t>M3</t>
  </si>
  <si>
    <t>0x38–0x3F</t>
  </si>
  <si>
    <t>Yes</t>
  </si>
  <si>
    <t>M4</t>
  </si>
  <si>
    <t>M6</t>
  </si>
  <si>
    <t>Automatic Bus Validation</t>
  </si>
  <si>
    <t>Check</t>
  </si>
  <si>
    <t>Used Slots</t>
  </si>
  <si>
    <t>Max</t>
  </si>
  <si>
    <t>Status</t>
  </si>
  <si>
    <t>0x20–0x27  (M2 + M5 + M7 + M8 + M9)</t>
  </si>
  <si>
    <t>0x38–0x3F  (M3 + M4 + M6 + M9)</t>
  </si>
  <si>
    <t>ADS1115  (M3 + M6)</t>
  </si>
  <si>
    <t>Rules:
• M2 + M5 + M7 + M8 + M9 ≤ 8
• M3 + M4 + M6 + M9 ≤ 8
• M3 + M6 ≤ 4 (ADS1115 limit)
Note: M9 is a hybrid module consuming one address in both I²C ranges.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</si>
</sst>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e" xfId="0" builtinId="0"/>
  </cellStyles>
  <dxfs count="6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H25" sqref="H25"/>
    </sheetView>
  </sheetViews>
  <sheetFormatPr defaultRowHeight="15" x14ac:dyDescent="0.25"/>
  <cols>
    <col min="1" max="1" width="38" customWidth="1"/>
    <col min="2" max="2" width="12" customWidth="1"/>
    <col min="3" max="3" width="22" customWidth="1"/>
    <col min="4" max="4" width="12" customWidth="1"/>
  </cols>
  <sheetData>
    <row r="1" spans="1:6" ht="18.75" x14ac:dyDescent="0.25">
      <c r="A1" s="7" t="s">
        <v>0</v>
      </c>
      <c r="B1" s="7"/>
      <c r="C1" s="7"/>
      <c r="D1" s="7"/>
      <c r="E1" s="3"/>
      <c r="F1" s="3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6" x14ac:dyDescent="0.25">
      <c r="A4" s="2" t="s">
        <v>5</v>
      </c>
      <c r="B4" s="2">
        <v>0</v>
      </c>
      <c r="C4" s="2" t="s">
        <v>6</v>
      </c>
      <c r="D4" s="2" t="s">
        <v>7</v>
      </c>
    </row>
    <row r="5" spans="1:6" x14ac:dyDescent="0.25">
      <c r="A5" s="2" t="s">
        <v>8</v>
      </c>
      <c r="B5" s="2">
        <v>0</v>
      </c>
      <c r="C5" s="2" t="s">
        <v>6</v>
      </c>
      <c r="D5" s="2" t="s">
        <v>7</v>
      </c>
    </row>
    <row r="6" spans="1:6" x14ac:dyDescent="0.25">
      <c r="A6" s="2" t="s">
        <v>9</v>
      </c>
      <c r="B6" s="2">
        <v>0</v>
      </c>
      <c r="C6" s="2" t="s">
        <v>6</v>
      </c>
      <c r="D6" s="2" t="s">
        <v>7</v>
      </c>
    </row>
    <row r="7" spans="1:6" x14ac:dyDescent="0.25">
      <c r="A7" s="2" t="s">
        <v>10</v>
      </c>
      <c r="B7" s="2">
        <v>0</v>
      </c>
      <c r="C7" s="2" t="s">
        <v>6</v>
      </c>
      <c r="D7" s="2" t="s">
        <v>7</v>
      </c>
    </row>
    <row r="8" spans="1:6" x14ac:dyDescent="0.25">
      <c r="A8" s="2" t="s">
        <v>11</v>
      </c>
      <c r="B8" s="2">
        <v>0</v>
      </c>
      <c r="C8" s="2" t="s">
        <v>12</v>
      </c>
      <c r="D8" s="2" t="s">
        <v>7</v>
      </c>
    </row>
    <row r="9" spans="1:6" x14ac:dyDescent="0.25">
      <c r="A9" s="2" t="s">
        <v>13</v>
      </c>
      <c r="B9" s="2">
        <v>0</v>
      </c>
      <c r="C9" s="2" t="s">
        <v>14</v>
      </c>
      <c r="D9" s="2" t="s">
        <v>15</v>
      </c>
    </row>
    <row r="10" spans="1:6" x14ac:dyDescent="0.25">
      <c r="A10" s="2" t="s">
        <v>16</v>
      </c>
      <c r="B10" s="2">
        <v>0</v>
      </c>
      <c r="C10" s="2" t="s">
        <v>14</v>
      </c>
      <c r="D10" s="2" t="s">
        <v>7</v>
      </c>
    </row>
    <row r="11" spans="1:6" x14ac:dyDescent="0.25">
      <c r="A11" s="2" t="s">
        <v>17</v>
      </c>
      <c r="B11" s="2">
        <v>0</v>
      </c>
      <c r="C11" s="2" t="s">
        <v>14</v>
      </c>
      <c r="D11" s="2" t="s">
        <v>15</v>
      </c>
    </row>
    <row r="13" spans="1:6" x14ac:dyDescent="0.25">
      <c r="A13" s="6" t="s">
        <v>18</v>
      </c>
      <c r="B13" s="6"/>
      <c r="C13" s="6"/>
      <c r="D13" s="6"/>
      <c r="E13" s="3"/>
      <c r="F13" s="3"/>
    </row>
    <row r="14" spans="1:6" x14ac:dyDescent="0.25">
      <c r="A14" s="1" t="s">
        <v>19</v>
      </c>
      <c r="B14" s="1" t="s">
        <v>20</v>
      </c>
      <c r="C14" s="1" t="s">
        <v>21</v>
      </c>
      <c r="D14" s="1" t="s">
        <v>22</v>
      </c>
    </row>
    <row r="15" spans="1:6" x14ac:dyDescent="0.25">
      <c r="A15" s="2" t="s">
        <v>23</v>
      </c>
      <c r="B15" s="2">
        <f>B4+B5+B6+B7+B8</f>
        <v>0</v>
      </c>
      <c r="C15" s="2">
        <v>8</v>
      </c>
      <c r="D15" s="2"/>
    </row>
    <row r="16" spans="1:6" x14ac:dyDescent="0.25">
      <c r="A16" s="2" t="s">
        <v>24</v>
      </c>
      <c r="B16" s="2">
        <f>B9+B10+B11+B8</f>
        <v>0</v>
      </c>
      <c r="C16" s="2">
        <v>8</v>
      </c>
      <c r="D16" s="2"/>
    </row>
    <row r="17" spans="1:6" x14ac:dyDescent="0.25">
      <c r="A17" s="2" t="s">
        <v>25</v>
      </c>
      <c r="B17" s="2">
        <f>B9+B11</f>
        <v>0</v>
      </c>
      <c r="C17" s="2">
        <v>4</v>
      </c>
      <c r="D17" s="2"/>
    </row>
    <row r="20" spans="1:6" ht="15" customHeight="1" x14ac:dyDescent="0.25">
      <c r="A20" s="5" t="s">
        <v>26</v>
      </c>
      <c r="B20" s="5"/>
      <c r="C20" s="5"/>
      <c r="D20" s="5"/>
      <c r="E20" s="4"/>
      <c r="F20" s="4"/>
    </row>
    <row r="21" spans="1:6" x14ac:dyDescent="0.25">
      <c r="A21" s="5"/>
      <c r="B21" s="5"/>
      <c r="C21" s="5"/>
      <c r="D21" s="5"/>
      <c r="E21" s="4"/>
      <c r="F21" s="4"/>
    </row>
    <row r="22" spans="1:6" x14ac:dyDescent="0.25">
      <c r="A22" s="5"/>
      <c r="B22" s="5"/>
      <c r="C22" s="5"/>
      <c r="D22" s="5"/>
      <c r="E22" s="4"/>
      <c r="F22" s="4"/>
    </row>
    <row r="23" spans="1:6" x14ac:dyDescent="0.25">
      <c r="A23" s="5"/>
      <c r="B23" s="5"/>
      <c r="C23" s="5"/>
      <c r="D23" s="5"/>
      <c r="E23" s="4"/>
      <c r="F23" s="4"/>
    </row>
  </sheetData>
  <mergeCells count="3">
    <mergeCell ref="A20:D23"/>
    <mergeCell ref="A1:D1"/>
    <mergeCell ref="A13:D13"/>
  </mergeCells>
  <conditionalFormatting sqref="B15:B16">
    <cfRule type="expression" dxfId="5" priority="1">
      <formula>B15&lt;=8*0.75</formula>
    </cfRule>
    <cfRule type="expression" dxfId="4" priority="2">
      <formula>AND(B15&gt;8*0.75,B15&lt;=8)</formula>
    </cfRule>
    <cfRule type="expression" dxfId="3" priority="3">
      <formula>B15&gt;8</formula>
    </cfRule>
  </conditionalFormatting>
  <conditionalFormatting sqref="B17">
    <cfRule type="expression" dxfId="2" priority="7">
      <formula>B17&lt;=4*0.75</formula>
    </cfRule>
    <cfRule type="expression" dxfId="1" priority="8">
      <formula>AND(B17&gt;4*0.75,B17&lt;=4)</formula>
    </cfRule>
    <cfRule type="expression" dxfId="0" priority="9">
      <formula>B17&gt;4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Domix I2C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IPP-M-B</cp:lastModifiedBy>
  <dcterms:created xsi:type="dcterms:W3CDTF">2026-02-03T13:10:17Z</dcterms:created>
  <dcterms:modified xsi:type="dcterms:W3CDTF">2026-02-03T15:20:57Z</dcterms:modified>
</cp:coreProperties>
</file>